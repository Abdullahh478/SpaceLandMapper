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"/>
    </mc:Choice>
  </mc:AlternateContent>
  <xr:revisionPtr revIDLastSave="24" documentId="11_639EBC300292C4990A28FE19CF245AEF9223F918" xr6:coauthVersionLast="47" xr6:coauthVersionMax="47" xr10:uidLastSave="{19D0CF42-7408-4154-89DB-E958EA108246}"/>
  <bookViews>
    <workbookView xWindow="-98" yWindow="-98" windowWidth="21795" windowHeight="12345" xr2:uid="{00000000-000D-0000-FFFF-FFFF00000000}"/>
  </bookViews>
  <sheets>
    <sheet name="Risk Register" sheetId="1" r:id="rId1"/>
    <sheet name="Top Ris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B6" i="2" l="1"/>
  <c r="B5" i="2"/>
  <c r="B4" i="2"/>
</calcChain>
</file>

<file path=xl/sharedStrings.xml><?xml version="1.0" encoding="utf-8"?>
<sst xmlns="http://schemas.openxmlformats.org/spreadsheetml/2006/main" count="149" uniqueCount="112">
  <si>
    <t>SpaceLandMapper Risk Assessment Register</t>
  </si>
  <si>
    <t>Project</t>
  </si>
  <si>
    <t>Team Lead</t>
  </si>
  <si>
    <t>Review Date</t>
  </si>
  <si>
    <t>Overall Risk</t>
  </si>
  <si>
    <t>Scoring Guide</t>
  </si>
  <si>
    <t>SpaceLandMapper</t>
  </si>
  <si>
    <t>Abdullah Hassan</t>
  </si>
  <si>
    <t>16-Apr-2026</t>
  </si>
  <si>
    <t>Medium</t>
  </si>
  <si>
    <t>Likelihood</t>
  </si>
  <si>
    <t>1 = Low, 2 = Medium, 3 = High</t>
  </si>
  <si>
    <t>Impact</t>
  </si>
  <si>
    <t>Priority</t>
  </si>
  <si>
    <t>1–2 Low | 3–4 Medium | 6–9 High</t>
  </si>
  <si>
    <t>Risk ID</t>
  </si>
  <si>
    <t>Category</t>
  </si>
  <si>
    <t>Risk Description</t>
  </si>
  <si>
    <t>Cause / Trigger</t>
  </si>
  <si>
    <t>Score</t>
  </si>
  <si>
    <t>Mitigation / Control</t>
  </si>
  <si>
    <t>Contingency Action</t>
  </si>
  <si>
    <t>Owner</t>
  </si>
  <si>
    <t>Status</t>
  </si>
  <si>
    <t>Review Notes</t>
  </si>
  <si>
    <t>R1</t>
  </si>
  <si>
    <t>Technical</t>
  </si>
  <si>
    <t>Streamlit dashboard fails to open during presentation</t>
  </si>
  <si>
    <t>Missing packages, broken environment, or local path issues</t>
  </si>
  <si>
    <t>Test the app in the same virtual environment before presentation and keep setup instructions in README</t>
  </si>
  <si>
    <t>Use backup screenshots or video if the live app fails</t>
  </si>
  <si>
    <t>Open</t>
  </si>
  <si>
    <t>Recent setup issue was fixed by activating .venv and using python -m streamlit</t>
  </si>
  <si>
    <t>R2</t>
  </si>
  <si>
    <t>Model file or outputs cannot be loaded by the dashboard</t>
  </si>
  <si>
    <t>Incorrect file path, missing outputs, or renamed folders</t>
  </si>
  <si>
    <t>Keep outputs in the expected folders and test all dashboard tabs before submission</t>
  </si>
  <si>
    <t>Re-run the CNN script if required and keep a backup copy of outputs</t>
  </si>
  <si>
    <t>Model and outputs already exist in the outputs folder</t>
  </si>
  <si>
    <t>R3</t>
  </si>
  <si>
    <t>Data</t>
  </si>
  <si>
    <t>Dataset issues reduce model reliability or consistency</t>
  </si>
  <si>
    <t>Insufficient checking during preprocessing or split creation</t>
  </si>
  <si>
    <t>Use fixed train/validation/test split and review class mapping carefully</t>
  </si>
  <si>
    <t>Document dataset limitations clearly in slides and report</t>
  </si>
  <si>
    <t>Hamza Kounan</t>
  </si>
  <si>
    <t>EuroSAT benchmark kept scope controlled</t>
  </si>
  <si>
    <t>R4</t>
  </si>
  <si>
    <t>Evaluation</t>
  </si>
  <si>
    <t>Metrics are misreported across slides, README, and docs</t>
  </si>
  <si>
    <t>Manual copying of scores into multiple documents</t>
  </si>
  <si>
    <t>Use saved metrics.json and the final confirmed figures everywhere</t>
  </si>
  <si>
    <t>Cross-check slides, README, and report before final submission</t>
  </si>
  <si>
    <t>Altamash Khan</t>
  </si>
  <si>
    <t>Accuracy and Macro F1 were already confirmed</t>
  </si>
  <si>
    <t>R5</t>
  </si>
  <si>
    <t>Project Management</t>
  </si>
  <si>
    <t>Sprint and backlog documents become inconsistent</t>
  </si>
  <si>
    <t>Different versions edited separately near the deadline</t>
  </si>
  <si>
    <t>Keep PM documents aligned to one product backlog and one sprint plan</t>
  </si>
  <si>
    <t>Perform a final consistency review before submission</t>
  </si>
  <si>
    <t>Mishal Zahra</t>
  </si>
  <si>
    <t>PM files were recently aligned</t>
  </si>
  <si>
    <t>R6</t>
  </si>
  <si>
    <t>Documentation</t>
  </si>
  <si>
    <t>README or reproducibility steps are unclear for tutors</t>
  </si>
  <si>
    <t>Commands differ from the actual working environment</t>
  </si>
  <si>
    <t>Show virtual environment activation and exact dashboard launch command in README</t>
  </si>
  <si>
    <t>Clarify setup verbally during demo if needed</t>
  </si>
  <si>
    <t>README was updated after the Streamlit setup issue</t>
  </si>
  <si>
    <t>R7</t>
  </si>
  <si>
    <t>Presentation</t>
  </si>
  <si>
    <t>Presentation and demo repeat the same content</t>
  </si>
  <si>
    <t>Poor separation between explanation and proof of functionality</t>
  </si>
  <si>
    <t>Use slides to explain the journey and demo to show the app working</t>
  </si>
  <si>
    <t>Keep a short demo script and role-based speaking order</t>
  </si>
  <si>
    <t>Teacher explicitly asked for separation</t>
  </si>
  <si>
    <t>R8</t>
  </si>
  <si>
    <t>Timing</t>
  </si>
  <si>
    <t>Group exceeds 20-minute presentation limit</t>
  </si>
  <si>
    <t>Too much detail in slides or a long demo</t>
  </si>
  <si>
    <t>Keep the live demo short and rehearse as a group</t>
  </si>
  <si>
    <t>Cut lower-priority explanation if timing becomes tight</t>
  </si>
  <si>
    <t>Presentation still needs full rehearsal</t>
  </si>
  <si>
    <t>R9</t>
  </si>
  <si>
    <t>Submission</t>
  </si>
  <si>
    <t>Canvas zip or GitHub repo is missing a required file</t>
  </si>
  <si>
    <t>Last-minute packaging or linking mistakes</t>
  </si>
  <si>
    <t>Check repo links, README, slides, PM docs, and final zip against the checklist</t>
  </si>
  <si>
    <t>Upload revised zip before the deadline if something is missing</t>
  </si>
  <si>
    <t>Submission pack should be checked early</t>
  </si>
  <si>
    <t>R10</t>
  </si>
  <si>
    <t>Ethics / Scope</t>
  </si>
  <si>
    <t>Project overclaims full real-time land-use change monitoring</t>
  </si>
  <si>
    <t>Mismatch between brief wording and current prototype scope</t>
  </si>
  <si>
    <t>State clearly that the prototype focuses on land classification and treats change monitoring as future work</t>
  </si>
  <si>
    <t>Clarify scope during Q&amp;A if challenged</t>
  </si>
  <si>
    <t>Important wording point for presentation and docs</t>
  </si>
  <si>
    <t>Top Risks Dashboard</t>
  </si>
  <si>
    <t>Count</t>
  </si>
  <si>
    <t>High</t>
  </si>
  <si>
    <t>Low</t>
  </si>
  <si>
    <t>Top Risk</t>
  </si>
  <si>
    <t>Immediate Action</t>
  </si>
  <si>
    <t>Dashboard fails during presentation</t>
  </si>
  <si>
    <t>Test app in .venv and keep backup screenshots</t>
  </si>
  <si>
    <t>Presentation exceeds time limit</t>
  </si>
  <si>
    <t>Rehearse full run and shorten demo</t>
  </si>
  <si>
    <t>Missing file in final submission</t>
  </si>
  <si>
    <t>Run final checklist before upload</t>
  </si>
  <si>
    <t>ALL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</si>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</sst>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1D2B36"/>
      <name val="Calibri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F2747"/>
      </patternFill>
    </fill>
    <fill>
      <patternFill patternType="solid">
        <fgColor rgb="FFDCEBFA"/>
      </patternFill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FFF2CC"/>
      </patternFill>
    </fill>
    <fill>
      <patternFill patternType="solid">
        <fgColor rgb="FFF2F4F7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8" borderId="0" xfId="0" applyFill="1"/>
    <xf numFmtId="0" fontId="5" fillId="8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0" fontId="0" fillId="8" borderId="1" xfId="0" applyFill="1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Risk Priority Mix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'Top Risks'!$B$3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'Top Risks'!$A$4:$A$6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'Top Risks'!$B$4:$B$6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0-434A-80C7-1C6639215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288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zoomScale="72" workbookViewId="0">
      <pane ySplit="8" topLeftCell="A10" activePane="bottomLeft" state="frozen"/>
      <selection pane="bottomLeft" activeCell="I7" sqref="I7"/>
    </sheetView>
  </sheetViews>
  <sheetFormatPr defaultRowHeight="14.25" x14ac:dyDescent="0.45"/>
  <cols>
    <col min="1" max="1" width="8" customWidth="1"/>
    <col min="2" max="2" width="16" customWidth="1"/>
    <col min="3" max="3" width="32" customWidth="1"/>
    <col min="4" max="4" width="28" customWidth="1"/>
    <col min="5" max="5" width="11" customWidth="1"/>
    <col min="6" max="6" width="10" customWidth="1"/>
    <col min="7" max="7" width="9" customWidth="1"/>
    <col min="8" max="9" width="11" customWidth="1"/>
    <col min="10" max="10" width="47" customWidth="1"/>
    <col min="11" max="11" width="24" customWidth="1"/>
    <col min="12" max="12" width="18" customWidth="1"/>
    <col min="13" max="13" width="12" customWidth="1"/>
    <col min="14" max="14" width="28" customWidth="1"/>
  </cols>
  <sheetData>
    <row r="1" spans="1:14" ht="24" customHeight="1" x14ac:dyDescent="0.4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24" customHeight="1" x14ac:dyDescent="0.45">
      <c r="A2" s="26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42" customHeight="1" x14ac:dyDescent="0.45"/>
    <row r="4" spans="1:14" ht="24" customHeight="1" x14ac:dyDescent="0.45">
      <c r="A4" s="17" t="s">
        <v>1</v>
      </c>
      <c r="B4" s="18"/>
      <c r="C4" s="17" t="s">
        <v>2</v>
      </c>
      <c r="D4" s="18"/>
      <c r="E4" s="17" t="s">
        <v>3</v>
      </c>
      <c r="F4" s="18"/>
      <c r="G4" s="17" t="s">
        <v>4</v>
      </c>
      <c r="H4" s="18"/>
      <c r="I4" s="28"/>
      <c r="K4" s="25" t="s">
        <v>5</v>
      </c>
      <c r="L4" s="20"/>
      <c r="M4" s="20"/>
      <c r="N4" s="20"/>
    </row>
    <row r="5" spans="1:14" ht="24" customHeight="1" x14ac:dyDescent="0.45">
      <c r="A5" s="23" t="s">
        <v>6</v>
      </c>
      <c r="B5" s="18"/>
      <c r="C5" s="23" t="s">
        <v>7</v>
      </c>
      <c r="D5" s="18"/>
      <c r="E5" s="23" t="s">
        <v>8</v>
      </c>
      <c r="F5" s="18"/>
      <c r="G5" s="24" t="s">
        <v>9</v>
      </c>
      <c r="H5" s="18"/>
      <c r="I5" s="28"/>
      <c r="K5" s="3" t="s">
        <v>10</v>
      </c>
      <c r="L5" s="21" t="s">
        <v>11</v>
      </c>
      <c r="M5" s="22"/>
      <c r="N5" s="22"/>
    </row>
    <row r="6" spans="1:14" ht="42" customHeight="1" x14ac:dyDescent="0.45">
      <c r="K6" s="3" t="s">
        <v>12</v>
      </c>
      <c r="L6" s="21" t="s">
        <v>11</v>
      </c>
      <c r="M6" s="22"/>
      <c r="N6" s="22"/>
    </row>
    <row r="7" spans="1:14" ht="42" customHeight="1" x14ac:dyDescent="0.45">
      <c r="A7" s="5"/>
      <c r="B7" s="5"/>
      <c r="C7" s="5"/>
      <c r="D7" s="5"/>
      <c r="E7" s="5"/>
      <c r="F7" s="5"/>
      <c r="G7" s="5"/>
      <c r="H7" s="5"/>
      <c r="I7" s="5"/>
      <c r="J7" s="5"/>
      <c r="K7" s="6" t="s">
        <v>13</v>
      </c>
      <c r="L7" s="15" t="s">
        <v>14</v>
      </c>
      <c r="M7" s="16"/>
      <c r="N7" s="16"/>
    </row>
    <row r="8" spans="1:14" ht="24" customHeight="1" x14ac:dyDescent="0.45">
      <c r="A8" s="7" t="s">
        <v>15</v>
      </c>
      <c r="B8" s="7" t="s">
        <v>16</v>
      </c>
      <c r="C8" s="7" t="s">
        <v>17</v>
      </c>
      <c r="D8" s="7" t="s">
        <v>18</v>
      </c>
      <c r="E8" s="7" t="s">
        <v>10</v>
      </c>
      <c r="F8" s="7" t="s">
        <v>12</v>
      </c>
      <c r="G8" s="7" t="s">
        <v>19</v>
      </c>
      <c r="H8" s="7" t="s">
        <v>13</v>
      </c>
      <c r="I8" s="7"/>
      <c r="J8" s="14" t="s">
        <v>20</v>
      </c>
      <c r="K8" s="7" t="s">
        <v>21</v>
      </c>
      <c r="L8" s="7" t="s">
        <v>22</v>
      </c>
      <c r="M8" s="7" t="s">
        <v>23</v>
      </c>
      <c r="N8" s="7" t="s">
        <v>24</v>
      </c>
    </row>
    <row r="9" spans="1:14" ht="42" customHeight="1" x14ac:dyDescent="0.45">
      <c r="A9" s="2" t="s">
        <v>25</v>
      </c>
      <c r="B9" s="4" t="s">
        <v>26</v>
      </c>
      <c r="C9" s="4" t="s">
        <v>27</v>
      </c>
      <c r="D9" s="4" t="s">
        <v>28</v>
      </c>
      <c r="E9" s="2">
        <v>2</v>
      </c>
      <c r="F9" s="2">
        <v>3</v>
      </c>
      <c r="G9" s="2">
        <f t="shared" ref="G9:G18" si="0">E9*F9</f>
        <v>6</v>
      </c>
      <c r="H9" s="2" t="str">
        <f t="shared" ref="H9:H18" si="1">IF(G9&gt;=6,"High",IF(G9&gt;=3,"Medium","Low"))</f>
        <v>High</v>
      </c>
      <c r="I9" s="2"/>
      <c r="J9" s="4" t="s">
        <v>29</v>
      </c>
      <c r="K9" s="4" t="s">
        <v>30</v>
      </c>
      <c r="L9" s="2" t="s">
        <v>7</v>
      </c>
      <c r="M9" s="2" t="s">
        <v>111</v>
      </c>
      <c r="N9" s="4" t="s">
        <v>32</v>
      </c>
    </row>
    <row r="10" spans="1:14" ht="42" customHeight="1" x14ac:dyDescent="0.45">
      <c r="A10" s="8" t="s">
        <v>33</v>
      </c>
      <c r="B10" s="9" t="s">
        <v>26</v>
      </c>
      <c r="C10" s="9" t="s">
        <v>34</v>
      </c>
      <c r="D10" s="9" t="s">
        <v>35</v>
      </c>
      <c r="E10" s="8">
        <v>2</v>
      </c>
      <c r="F10" s="8">
        <v>3</v>
      </c>
      <c r="G10" s="8">
        <f t="shared" si="0"/>
        <v>6</v>
      </c>
      <c r="H10" s="8" t="str">
        <f t="shared" si="1"/>
        <v>High</v>
      </c>
      <c r="I10" s="8"/>
      <c r="J10" s="9" t="s">
        <v>36</v>
      </c>
      <c r="K10" s="9" t="s">
        <v>37</v>
      </c>
      <c r="L10" s="8" t="s">
        <v>7</v>
      </c>
      <c r="M10" s="8" t="s">
        <v>111</v>
      </c>
      <c r="N10" s="9" t="s">
        <v>38</v>
      </c>
    </row>
    <row r="11" spans="1:14" ht="42" customHeight="1" x14ac:dyDescent="0.45">
      <c r="A11" s="2" t="s">
        <v>39</v>
      </c>
      <c r="B11" s="4" t="s">
        <v>40</v>
      </c>
      <c r="C11" s="4" t="s">
        <v>41</v>
      </c>
      <c r="D11" s="4" t="s">
        <v>42</v>
      </c>
      <c r="E11" s="2">
        <v>1</v>
      </c>
      <c r="F11" s="2">
        <v>2</v>
      </c>
      <c r="G11" s="2">
        <f t="shared" si="0"/>
        <v>2</v>
      </c>
      <c r="H11" s="2" t="str">
        <f t="shared" si="1"/>
        <v>Low</v>
      </c>
      <c r="I11" s="2"/>
      <c r="J11" s="4" t="s">
        <v>43</v>
      </c>
      <c r="K11" s="4" t="s">
        <v>44</v>
      </c>
      <c r="L11" s="2" t="s">
        <v>45</v>
      </c>
      <c r="M11" s="2" t="s">
        <v>111</v>
      </c>
      <c r="N11" s="4" t="s">
        <v>46</v>
      </c>
    </row>
    <row r="12" spans="1:14" ht="42" customHeight="1" x14ac:dyDescent="0.45">
      <c r="A12" s="8" t="s">
        <v>47</v>
      </c>
      <c r="B12" s="9" t="s">
        <v>48</v>
      </c>
      <c r="C12" s="9" t="s">
        <v>49</v>
      </c>
      <c r="D12" s="9" t="s">
        <v>50</v>
      </c>
      <c r="E12" s="8">
        <v>2</v>
      </c>
      <c r="F12" s="8">
        <v>2</v>
      </c>
      <c r="G12" s="8">
        <f t="shared" si="0"/>
        <v>4</v>
      </c>
      <c r="H12" s="8" t="str">
        <f t="shared" si="1"/>
        <v>Medium</v>
      </c>
      <c r="I12" s="8"/>
      <c r="J12" s="9" t="s">
        <v>51</v>
      </c>
      <c r="K12" s="9" t="s">
        <v>52</v>
      </c>
      <c r="L12" s="8" t="s">
        <v>53</v>
      </c>
      <c r="M12" s="8" t="s">
        <v>111</v>
      </c>
      <c r="N12" s="9" t="s">
        <v>54</v>
      </c>
    </row>
    <row r="13" spans="1:14" ht="42" customHeight="1" x14ac:dyDescent="0.45">
      <c r="A13" s="2" t="s">
        <v>55</v>
      </c>
      <c r="B13" s="4" t="s">
        <v>56</v>
      </c>
      <c r="C13" s="4" t="s">
        <v>57</v>
      </c>
      <c r="D13" s="4" t="s">
        <v>58</v>
      </c>
      <c r="E13" s="2">
        <v>2</v>
      </c>
      <c r="F13" s="2">
        <v>2</v>
      </c>
      <c r="G13" s="2">
        <f t="shared" si="0"/>
        <v>4</v>
      </c>
      <c r="H13" s="2" t="str">
        <f t="shared" si="1"/>
        <v>Medium</v>
      </c>
      <c r="I13" s="2"/>
      <c r="J13" s="4" t="s">
        <v>59</v>
      </c>
      <c r="K13" s="4" t="s">
        <v>60</v>
      </c>
      <c r="L13" s="2" t="s">
        <v>61</v>
      </c>
      <c r="M13" s="2" t="s">
        <v>111</v>
      </c>
      <c r="N13" s="4" t="s">
        <v>62</v>
      </c>
    </row>
    <row r="14" spans="1:14" ht="42" customHeight="1" x14ac:dyDescent="0.45">
      <c r="A14" s="8" t="s">
        <v>63</v>
      </c>
      <c r="B14" s="9" t="s">
        <v>64</v>
      </c>
      <c r="C14" s="9" t="s">
        <v>65</v>
      </c>
      <c r="D14" s="9" t="s">
        <v>66</v>
      </c>
      <c r="E14" s="8">
        <v>2</v>
      </c>
      <c r="F14" s="8">
        <v>2</v>
      </c>
      <c r="G14" s="8">
        <f t="shared" si="0"/>
        <v>4</v>
      </c>
      <c r="H14" s="8" t="str">
        <f t="shared" si="1"/>
        <v>Medium</v>
      </c>
      <c r="I14" s="8"/>
      <c r="J14" s="9" t="s">
        <v>67</v>
      </c>
      <c r="K14" s="9" t="s">
        <v>68</v>
      </c>
      <c r="L14" s="8" t="s">
        <v>7</v>
      </c>
      <c r="M14" s="8" t="s">
        <v>111</v>
      </c>
      <c r="N14" s="9" t="s">
        <v>69</v>
      </c>
    </row>
    <row r="15" spans="1:14" ht="42" customHeight="1" x14ac:dyDescent="0.45">
      <c r="A15" s="2" t="s">
        <v>70</v>
      </c>
      <c r="B15" s="4" t="s">
        <v>71</v>
      </c>
      <c r="C15" s="4" t="s">
        <v>72</v>
      </c>
      <c r="D15" s="4" t="s">
        <v>73</v>
      </c>
      <c r="E15" s="2">
        <v>2</v>
      </c>
      <c r="F15" s="2">
        <v>2</v>
      </c>
      <c r="G15" s="2">
        <f t="shared" si="0"/>
        <v>4</v>
      </c>
      <c r="H15" s="2" t="str">
        <f t="shared" si="1"/>
        <v>Medium</v>
      </c>
      <c r="I15" s="2"/>
      <c r="J15" s="4" t="s">
        <v>74</v>
      </c>
      <c r="K15" s="4" t="s">
        <v>75</v>
      </c>
      <c r="L15" s="2" t="s">
        <v>7</v>
      </c>
      <c r="M15" s="2" t="s">
        <v>111</v>
      </c>
      <c r="N15" s="4" t="s">
        <v>76</v>
      </c>
    </row>
    <row r="16" spans="1:14" ht="42" customHeight="1" x14ac:dyDescent="0.45">
      <c r="A16" s="8" t="s">
        <v>77</v>
      </c>
      <c r="B16" s="9" t="s">
        <v>78</v>
      </c>
      <c r="C16" s="9" t="s">
        <v>79</v>
      </c>
      <c r="D16" s="9" t="s">
        <v>80</v>
      </c>
      <c r="E16" s="8">
        <v>2</v>
      </c>
      <c r="F16" s="8">
        <v>3</v>
      </c>
      <c r="G16" s="8">
        <f t="shared" si="0"/>
        <v>6</v>
      </c>
      <c r="H16" s="8" t="str">
        <f t="shared" si="1"/>
        <v>High</v>
      </c>
      <c r="I16" s="8"/>
      <c r="J16" s="9" t="s">
        <v>81</v>
      </c>
      <c r="K16" s="9" t="s">
        <v>82</v>
      </c>
      <c r="L16" s="8" t="s">
        <v>53</v>
      </c>
      <c r="M16" s="8" t="s">
        <v>31</v>
      </c>
      <c r="N16" s="9" t="s">
        <v>83</v>
      </c>
    </row>
    <row r="17" spans="1:14" ht="42" customHeight="1" x14ac:dyDescent="0.45">
      <c r="A17" s="2" t="s">
        <v>84</v>
      </c>
      <c r="B17" s="4" t="s">
        <v>85</v>
      </c>
      <c r="C17" s="4" t="s">
        <v>86</v>
      </c>
      <c r="D17" s="4" t="s">
        <v>87</v>
      </c>
      <c r="E17" s="2">
        <v>2</v>
      </c>
      <c r="F17" s="2">
        <v>3</v>
      </c>
      <c r="G17" s="2">
        <f t="shared" si="0"/>
        <v>6</v>
      </c>
      <c r="H17" s="2" t="str">
        <f t="shared" si="1"/>
        <v>High</v>
      </c>
      <c r="I17" s="2"/>
      <c r="J17" s="4" t="s">
        <v>88</v>
      </c>
      <c r="K17" s="4" t="s">
        <v>89</v>
      </c>
      <c r="L17" s="2" t="s">
        <v>61</v>
      </c>
      <c r="M17" s="2" t="s">
        <v>111</v>
      </c>
      <c r="N17" s="4" t="s">
        <v>90</v>
      </c>
    </row>
    <row r="18" spans="1:14" ht="42" customHeight="1" x14ac:dyDescent="0.45">
      <c r="A18" s="8" t="s">
        <v>91</v>
      </c>
      <c r="B18" s="9" t="s">
        <v>92</v>
      </c>
      <c r="C18" s="9" t="s">
        <v>93</v>
      </c>
      <c r="D18" s="9" t="s">
        <v>94</v>
      </c>
      <c r="E18" s="8">
        <v>2</v>
      </c>
      <c r="F18" s="8">
        <v>2</v>
      </c>
      <c r="G18" s="8">
        <f t="shared" si="0"/>
        <v>4</v>
      </c>
      <c r="H18" s="8" t="str">
        <f t="shared" si="1"/>
        <v>Medium</v>
      </c>
      <c r="I18" s="8"/>
      <c r="J18" s="9" t="s">
        <v>95</v>
      </c>
      <c r="K18" s="9" t="s">
        <v>96</v>
      </c>
      <c r="L18" s="8" t="s">
        <v>110</v>
      </c>
      <c r="M18" s="8" t="s">
        <v>31</v>
      </c>
      <c r="N18" s="9" t="s">
        <v>97</v>
      </c>
    </row>
  </sheetData>
  <mergeCells count="14">
    <mergeCell ref="A1:N1"/>
    <mergeCell ref="L6:N6"/>
    <mergeCell ref="L5:N5"/>
    <mergeCell ref="C5:D5"/>
    <mergeCell ref="A5:B5"/>
    <mergeCell ref="G5:H5"/>
    <mergeCell ref="E5:F5"/>
    <mergeCell ref="K4:N4"/>
    <mergeCell ref="A2:N2"/>
    <mergeCell ref="L7:N7"/>
    <mergeCell ref="C4:D4"/>
    <mergeCell ref="A4:B4"/>
    <mergeCell ref="G4:H4"/>
    <mergeCell ref="E4:F4"/>
  </mergeCells>
  <conditionalFormatting sqref="H9:I18">
    <cfRule type="expression" dxfId="2" priority="1" stopIfTrue="1">
      <formula>H9="High"</formula>
    </cfRule>
    <cfRule type="expression" dxfId="1" priority="2" stopIfTrue="1">
      <formula>H9="Medium"</formula>
    </cfRule>
    <cfRule type="expression" dxfId="0" priority="3" stopIfTrue="1">
      <formula>H9="Low"</formula>
    </cfRule>
  </conditionalFormatting>
  <dataValidations count="2">
    <dataValidation type="whole" sqref="E9:F18" xr:uid="{00000000-0002-0000-0000-000000000000}">
      <formula1>1</formula1>
      <formula2>3</formula2>
    </dataValidation>
    <dataValidation type="list" sqref="M9:M18" xr:uid="{00000000-0002-0000-0000-000001000000}">
      <formula1>"Open,Monitoring,Mitigated,Closed"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defaultRowHeight="14.25" x14ac:dyDescent="0.45"/>
  <cols>
    <col min="1" max="2" width="10" customWidth="1"/>
    <col min="3" max="3" width="18" customWidth="1"/>
    <col min="4" max="4" width="34" customWidth="1"/>
    <col min="5" max="5" width="12" customWidth="1"/>
    <col min="6" max="6" width="10" customWidth="1"/>
  </cols>
  <sheetData>
    <row r="1" spans="1:6" x14ac:dyDescent="0.45">
      <c r="A1" s="27" t="s">
        <v>98</v>
      </c>
      <c r="B1" s="20"/>
      <c r="C1" s="20"/>
      <c r="D1" s="20"/>
      <c r="E1" s="20"/>
      <c r="F1" s="20"/>
    </row>
    <row r="3" spans="1:6" x14ac:dyDescent="0.45">
      <c r="A3" s="10" t="s">
        <v>13</v>
      </c>
      <c r="B3" s="10" t="s">
        <v>99</v>
      </c>
    </row>
    <row r="4" spans="1:6" x14ac:dyDescent="0.45">
      <c r="A4" s="11" t="s">
        <v>100</v>
      </c>
      <c r="B4" s="2">
        <f>COUNTIF('Risk Register'!H:H,"High")</f>
        <v>4</v>
      </c>
    </row>
    <row r="5" spans="1:6" x14ac:dyDescent="0.45">
      <c r="A5" s="12" t="s">
        <v>9</v>
      </c>
      <c r="B5" s="2">
        <f>COUNTIF('Risk Register'!H:H,"Medium")</f>
        <v>5</v>
      </c>
    </row>
    <row r="6" spans="1:6" x14ac:dyDescent="0.45">
      <c r="A6" s="13" t="s">
        <v>101</v>
      </c>
      <c r="B6" s="2">
        <f>COUNTIF('Risk Register'!H:H,"Low")</f>
        <v>1</v>
      </c>
    </row>
    <row r="9" spans="1:6" x14ac:dyDescent="0.45">
      <c r="A9" s="1" t="s">
        <v>15</v>
      </c>
      <c r="B9" s="1" t="s">
        <v>102</v>
      </c>
      <c r="C9" s="1" t="s">
        <v>22</v>
      </c>
      <c r="D9" s="1" t="s">
        <v>103</v>
      </c>
      <c r="E9" s="1" t="s">
        <v>23</v>
      </c>
      <c r="F9" s="1" t="s">
        <v>13</v>
      </c>
    </row>
    <row r="10" spans="1:6" ht="57" x14ac:dyDescent="0.45">
      <c r="A10" s="2" t="s">
        <v>25</v>
      </c>
      <c r="B10" s="4" t="s">
        <v>104</v>
      </c>
      <c r="C10" s="2" t="s">
        <v>7</v>
      </c>
      <c r="D10" s="4" t="s">
        <v>105</v>
      </c>
      <c r="E10" s="2" t="s">
        <v>31</v>
      </c>
      <c r="F10" s="11" t="s">
        <v>100</v>
      </c>
    </row>
    <row r="11" spans="1:6" ht="42.75" x14ac:dyDescent="0.45">
      <c r="A11" s="2" t="s">
        <v>77</v>
      </c>
      <c r="B11" s="4" t="s">
        <v>106</v>
      </c>
      <c r="C11" s="2" t="s">
        <v>7</v>
      </c>
      <c r="D11" s="4" t="s">
        <v>107</v>
      </c>
      <c r="E11" s="2" t="s">
        <v>31</v>
      </c>
      <c r="F11" s="11" t="s">
        <v>100</v>
      </c>
    </row>
    <row r="12" spans="1:6" ht="42.75" x14ac:dyDescent="0.45">
      <c r="A12" s="2" t="s">
        <v>84</v>
      </c>
      <c r="B12" s="4" t="s">
        <v>108</v>
      </c>
      <c r="C12" s="2" t="s">
        <v>61</v>
      </c>
      <c r="D12" s="4" t="s">
        <v>109</v>
      </c>
      <c r="E12" s="2" t="s">
        <v>31</v>
      </c>
      <c r="F12" s="11" t="s">
        <v>100</v>
      </c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Top 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Hassan</cp:lastModifiedBy>
  <dcterms:created xsi:type="dcterms:W3CDTF">2026-04-16T15:55:33Z</dcterms:created>
  <dcterms:modified xsi:type="dcterms:W3CDTF">2026-04-16T16:14:57Z</dcterms:modified>
</cp:coreProperties>
</file>